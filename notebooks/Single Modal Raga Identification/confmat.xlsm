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pgrad\Msc\Repository\multi-modal-bert-models\notebooks\Raga Identification\"/>
    </mc:Choice>
  </mc:AlternateContent>
  <xr:revisionPtr revIDLastSave="0" documentId="13_ncr:1_{53597226-6186-4EAC-888D-591CABFD4284}" xr6:coauthVersionLast="47" xr6:coauthVersionMax="47" xr10:uidLastSave="{00000000-0000-0000-0000-000000000000}"/>
  <bookViews>
    <workbookView xWindow="-110" yWindow="-110" windowWidth="19420" windowHeight="10300" xr2:uid="{4BDFAD3E-FF26-4124-BF68-CD6024E35188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1" i="1" s="1"/>
  <c r="C1" i="1" s="1"/>
  <c r="D1" i="1" s="1"/>
  <c r="E1" i="1" s="1"/>
  <c r="A2" i="1"/>
  <c r="F1" i="1"/>
  <c r="B2" i="1" l="1"/>
  <c r="C2" i="1" s="1"/>
  <c r="D2" i="1" s="1"/>
  <c r="E2" i="1" s="1"/>
  <c r="F2" i="1"/>
  <c r="G1" i="1" l="1"/>
</calcChain>
</file>

<file path=xl/sharedStrings.xml><?xml version="1.0" encoding="utf-8"?>
<sst xmlns="http://schemas.openxmlformats.org/spreadsheetml/2006/main" count="1" uniqueCount="1">
  <si>
    <t>*** Confusion Matrix - Training ***
[[344 107]
 [ 17  19]]
*** Confusion Matrix - Validation ***
[[86 26]
 [ 4  5]]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</si>
</sst>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A68C8-6720-4E66-996B-03D25F5D1C6B}">
  <sheetPr codeName="Sheet1"/>
  <dimension ref="A1:G3"/>
  <sheetViews>
    <sheetView tabSelected="1" zoomScale="85" zoomScaleNormal="85" workbookViewId="0">
      <selection activeCell="H6" sqref="H6"/>
    </sheetView>
  </sheetViews>
  <sheetFormatPr defaultRowHeight="14.5" x14ac:dyDescent="0.35"/>
  <cols>
    <col min="1" max="1" width="48.453125" customWidth="1"/>
    <col min="2" max="3" width="30.6328125" hidden="1" customWidth="1"/>
    <col min="4" max="6" width="7.81640625" hidden="1" customWidth="1"/>
  </cols>
  <sheetData>
    <row r="1" spans="1:7" ht="150" customHeight="1" x14ac:dyDescent="0.35">
      <c r="A1" s="1" t="s">
        <v>0</v>
      </c>
      <c r="B1" s="1" t="str">
        <f>MID(A1,LEN("*** Confusion Matrix - Training ***")+1,A3)</f>
        <v xml:space="preserve">
[[344 107]
 [ 17  19]]
*** Confusion Matrix - Validation **</v>
      </c>
      <c r="C1" s="1" t="str">
        <f>MID(B1,1,FIND("]]",B1))</f>
        <v xml:space="preserve">
[[344 107]
 [ 17  19]</v>
      </c>
      <c r="D1" s="1" t="str">
        <f>SUBSTITUTE(C1,"]"," ")</f>
        <v xml:space="preserve">
[[344 107 
 [ 17  19 </v>
      </c>
      <c r="E1" s="1" t="str">
        <f>SUBSTITUTE(D1,"["," ")</f>
        <v xml:space="preserve">
  344 107 
   17  19 </v>
      </c>
      <c r="F1" s="1" t="str">
        <f>gettable(E1)</f>
        <v>&lt;table&gt;&lt;tr&gt;&lt;td&gt;344&lt;/td&gt;&lt;td&gt;107&lt;/td&gt;&lt;/tr&gt;&lt;tr&gt;&lt;td&gt;17&lt;/td&gt;&lt;td&gt;19&lt;/td&gt;&lt;/tr&gt;&lt;/table&gt;</v>
      </c>
      <c r="G1" t="str">
        <f>F1&amp;"|"&amp;F2&amp;"|"</f>
        <v>&lt;table&gt;&lt;tr&gt;&lt;td&gt;344&lt;/td&gt;&lt;td&gt;107&lt;/td&gt;&lt;/tr&gt;&lt;tr&gt;&lt;td&gt;17&lt;/td&gt;&lt;td&gt;19&lt;/td&gt;&lt;/tr&gt;&lt;/table&gt;|&lt;table&gt;&lt;tr&gt;&lt;td&gt;86&lt;/td&gt;&lt;td&gt;26&lt;/td&gt;&lt;/tr&gt;&lt;tr&gt;&lt;td&gt;4&lt;/td&gt;&lt;td&gt;5&lt;/td&gt;&lt;/tr&gt;&lt;/table&gt;|</v>
      </c>
    </row>
    <row r="2" spans="1:7" ht="159.5" x14ac:dyDescent="0.35">
      <c r="A2">
        <f>FIND("*** Confusion Matrix - Training ***",A1)</f>
        <v>1</v>
      </c>
      <c r="B2" t="str">
        <f>MID(A1,A3+LEN("*** Confusion Matrix -Validation ***")+1,100)</f>
        <v xml:space="preserve">
[[86 26]
 [ 4  5]]</v>
      </c>
      <c r="C2" s="1" t="str">
        <f>MID(B2,1,FIND("]]",B2))</f>
        <v xml:space="preserve">
[[86 26]
 [ 4  5]</v>
      </c>
      <c r="D2" s="1" t="str">
        <f>SUBSTITUTE(C2,"]"," ")</f>
        <v xml:space="preserve">
[[86 26 
 [ 4  5 </v>
      </c>
      <c r="E2" s="1" t="str">
        <f>SUBSTITUTE(D2,"["," ")</f>
        <v xml:space="preserve">
  86 26 
   4  5 </v>
      </c>
      <c r="F2" s="1" t="str">
        <f>gettable(E2)</f>
        <v>&lt;table&gt;&lt;tr&gt;&lt;td&gt;86&lt;/td&gt;&lt;td&gt;26&lt;/td&gt;&lt;/tr&gt;&lt;tr&gt;&lt;td&gt;4&lt;/td&gt;&lt;td&gt;5&lt;/td&gt;&lt;/tr&gt;&lt;/table&gt;</v>
      </c>
    </row>
    <row r="3" spans="1:7" x14ac:dyDescent="0.35">
      <c r="A3">
        <f>FIND("*** Confusion Matrix - Validation ***",A1)</f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sasan</dc:creator>
  <cp:lastModifiedBy>sasan</cp:lastModifiedBy>
  <dcterms:created xsi:type="dcterms:W3CDTF">2021-11-18T16:26:32Z</dcterms:created>
  <dcterms:modified xsi:type="dcterms:W3CDTF">2021-11-18T17:55:50Z</dcterms:modified>
</cp:coreProperties>
</file>